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8e513e3f2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or_counts" sheetId="1" r:id="R71ab70963181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4f5732dca4411" /><Relationship Type="http://schemas.openxmlformats.org/officeDocument/2006/relationships/theme" Target="/xl/theme/theme1.xml" Id="R2cc692010e734e49" /><Relationship Type="http://schemas.openxmlformats.org/officeDocument/2006/relationships/sharedStrings" Target="/xl/sharedStrings.xml" Id="Re820cabbb3c44f10" /><Relationship Type="http://schemas.openxmlformats.org/officeDocument/2006/relationships/worksheet" Target="/xl/worksheets/sheet1.xml" Id="R71ab7096318144c6" /></Relationships>
</file>

<file path=xl/tables/table1.xml><?xml version="1.0" encoding="utf-8"?>
<x:table xmlns:x="http://schemas.openxmlformats.org/spreadsheetml/2006/main" id="1" name="DonorcountsData" displayName="DonorcountsData" ref="A1:J13" headerRowCount="1" totalsRowCount="0" totalsRowShown="0">
  <x:tableColumns count="10">
    <x:tableColumn id="1" name="Donor"/>
    <x:tableColumn id="2" name="Group"/>
    <x:tableColumn id="3" name="Full_CD8_cells"/>
    <x:tableColumn id="4" name="Monocle_Naive_cells"/>
    <x:tableColumn id="5" name="Monocle_Tem_cells"/>
    <x:tableColumn id="6" name="Monocle_CTL_cells"/>
    <x:tableColumn id="7" name="Monocle_Total_cells"/>
    <x:tableColumn id="8" name="Matched_velocity_cells"/>
    <x:tableColumn id="9" name="Median_spliced_counts"/>
    <x:tableColumn id="10" name="Median_unspliced_cou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e52daa7ac44c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5" hidden="0" customWidth="1"/>
    <x:col min="5" max="5" width="22" hidden="0" customWidth="1"/>
    <x:col min="6" max="6" width="22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6" t="str">
        <x:v>Donor</x:v>
      </x:c>
      <x:c r="B1" s="6" t="str">
        <x:v>Group</x:v>
      </x:c>
      <x:c r="C1" s="6" t="str">
        <x:v>Full_CD8_cells</x:v>
      </x:c>
      <x:c r="D1" s="6" t="str">
        <x:v>Monocle_Naive_cells</x:v>
      </x:c>
      <x:c r="E1" s="6" t="str">
        <x:v>Monocle_Tem_cells</x:v>
      </x:c>
      <x:c r="F1" s="6" t="str">
        <x:v>Monocle_CTL_cells</x:v>
      </x:c>
      <x:c r="G1" s="6" t="str">
        <x:v>Monocle_Total_cells</x:v>
      </x:c>
      <x:c r="H1" s="6" t="str">
        <x:v>Matched_velocity_cells</x:v>
      </x:c>
      <x:c r="I1" s="6" t="str">
        <x:v>Median_spliced_counts</x:v>
      </x:c>
      <x:c r="J1" s="6" t="str">
        <x:v>Median_unspliced_counts</x:v>
      </x:c>
    </x:row>
    <x:row r="2" ht="23" customHeight="1">
      <x:c r="A2" s="7" t="str">
        <x:v>Con1</x:v>
      </x:c>
      <x:c r="B2" s="7" t="str">
        <x:v>HC</x:v>
      </x:c>
      <x:c r="C2" s="9" t="n">
        <x:v>1503</x:v>
      </x:c>
      <x:c r="D2" s="9" t="n">
        <x:v>96</x:v>
      </x:c>
      <x:c r="E2" s="9" t="n">
        <x:v>65</x:v>
      </x:c>
      <x:c r="F2" s="9" t="n">
        <x:v>17</x:v>
      </x:c>
      <x:c r="G2" s="9" t="n">
        <x:f>SUM(D2:F2)</x:f>
        <x:v>178</x:v>
      </x:c>
      <x:c r="H2" s="9" t="n">
        <x:v>1503</x:v>
      </x:c>
      <x:c r="I2" s="11" t="n">
        <x:v>332</x:v>
      </x:c>
      <x:c r="J2" s="11" t="n">
        <x:v>503</x:v>
      </x:c>
    </x:row>
    <x:row r="3" ht="23" customHeight="1">
      <x:c r="A3" s="7" t="str">
        <x:v>Con2</x:v>
      </x:c>
      <x:c r="B3" s="7" t="str">
        <x:v>HC</x:v>
      </x:c>
      <x:c r="C3" s="9" t="n">
        <x:v>2637</x:v>
      </x:c>
      <x:c r="D3" s="9" t="n">
        <x:v>63</x:v>
      </x:c>
      <x:c r="E3" s="9" t="n">
        <x:v>121</x:v>
      </x:c>
      <x:c r="F3" s="9" t="n">
        <x:v>132</x:v>
      </x:c>
      <x:c r="G3" s="9" t="n">
        <x:f>SUM(D3:F3)</x:f>
        <x:v>316</x:v>
      </x:c>
      <x:c r="H3" s="9" t="n">
        <x:v>2637</x:v>
      </x:c>
      <x:c r="I3" s="11" t="n">
        <x:v>274</x:v>
      </x:c>
      <x:c r="J3" s="11" t="n">
        <x:v>395</x:v>
      </x:c>
    </x:row>
    <x:row r="4" ht="23" customHeight="1">
      <x:c r="A4" s="7" t="str">
        <x:v>Con3</x:v>
      </x:c>
      <x:c r="B4" s="7" t="str">
        <x:v>HC</x:v>
      </x:c>
      <x:c r="C4" s="9" t="n">
        <x:v>1846</x:v>
      </x:c>
      <x:c r="D4" s="9" t="n">
        <x:v>144</x:v>
      </x:c>
      <x:c r="E4" s="9" t="n">
        <x:v>44</x:v>
      </x:c>
      <x:c r="F4" s="9" t="n">
        <x:v>17</x:v>
      </x:c>
      <x:c r="G4" s="9" t="n">
        <x:f>SUM(D4:F4)</x:f>
        <x:v>205</x:v>
      </x:c>
      <x:c r="H4" s="9" t="n">
        <x:v>1846</x:v>
      </x:c>
      <x:c r="I4" s="11" t="n">
        <x:v>361</x:v>
      </x:c>
      <x:c r="J4" s="11" t="n">
        <x:v>557.5</x:v>
      </x:c>
    </x:row>
    <x:row r="5" ht="23" customHeight="1">
      <x:c r="A5" s="7" t="str">
        <x:v>Con4</x:v>
      </x:c>
      <x:c r="B5" s="7" t="str">
        <x:v>HC</x:v>
      </x:c>
      <x:c r="C5" s="9" t="n">
        <x:v>1793</x:v>
      </x:c>
      <x:c r="D5" s="9" t="n">
        <x:v>77</x:v>
      </x:c>
      <x:c r="E5" s="9" t="n">
        <x:v>54</x:v>
      </x:c>
      <x:c r="F5" s="9" t="n">
        <x:v>61</x:v>
      </x:c>
      <x:c r="G5" s="9" t="n">
        <x:f>SUM(D5:F5)</x:f>
        <x:v>192</x:v>
      </x:c>
      <x:c r="H5" s="9" t="n">
        <x:v>1793</x:v>
      </x:c>
      <x:c r="I5" s="11" t="n">
        <x:v>306</x:v>
      </x:c>
      <x:c r="J5" s="11" t="n">
        <x:v>467</x:v>
      </x:c>
    </x:row>
    <x:row r="6" ht="23" customHeight="1">
      <x:c r="A6" s="7" t="str">
        <x:v>Con5</x:v>
      </x:c>
      <x:c r="B6" s="7" t="str">
        <x:v>HC</x:v>
      </x:c>
      <x:c r="C6" s="9" t="n">
        <x:v>1328</x:v>
      </x:c>
      <x:c r="D6" s="9" t="n">
        <x:v>83</x:v>
      </x:c>
      <x:c r="E6" s="9" t="n">
        <x:v>33</x:v>
      </x:c>
      <x:c r="F6" s="9" t="n">
        <x:v>37</x:v>
      </x:c>
      <x:c r="G6" s="9" t="n">
        <x:f>SUM(D6:F6)</x:f>
        <x:v>153</x:v>
      </x:c>
      <x:c r="H6" s="9" t="n">
        <x:v>1328</x:v>
      </x:c>
      <x:c r="I6" s="11" t="n">
        <x:v>426.5</x:v>
      </x:c>
      <x:c r="J6" s="11" t="n">
        <x:v>631</x:v>
      </x:c>
    </x:row>
    <x:row r="7" ht="23" customHeight="1">
      <x:c r="A7" s="7" t="str">
        <x:v>Con6</x:v>
      </x:c>
      <x:c r="B7" s="7" t="str">
        <x:v>HC</x:v>
      </x:c>
      <x:c r="C7" s="9" t="n">
        <x:v>909</x:v>
      </x:c>
      <x:c r="D7" s="9" t="n">
        <x:v>56</x:v>
      </x:c>
      <x:c r="E7" s="9" t="n">
        <x:v>21</x:v>
      </x:c>
      <x:c r="F7" s="9" t="n">
        <x:v>29</x:v>
      </x:c>
      <x:c r="G7" s="9" t="n">
        <x:f>SUM(D7:F7)</x:f>
        <x:v>106</x:v>
      </x:c>
      <x:c r="H7" s="9" t="n">
        <x:v>909</x:v>
      </x:c>
      <x:c r="I7" s="11" t="n">
        <x:v>480</x:v>
      </x:c>
      <x:c r="J7" s="11" t="n">
        <x:v>684</x:v>
      </x:c>
    </x:row>
    <x:row r="8" ht="23" customHeight="1">
      <x:c r="A8" s="7" t="str">
        <x:v>SLE1</x:v>
      </x:c>
      <x:c r="B8" s="7" t="str">
        <x:v>SLE</x:v>
      </x:c>
      <x:c r="C8" s="9" t="n">
        <x:v>3714</x:v>
      </x:c>
      <x:c r="D8" s="9" t="n">
        <x:v>107</x:v>
      </x:c>
      <x:c r="E8" s="9" t="n">
        <x:v>151</x:v>
      </x:c>
      <x:c r="F8" s="9" t="n">
        <x:v>180</x:v>
      </x:c>
      <x:c r="G8" s="9" t="n">
        <x:f>SUM(D8:F8)</x:f>
        <x:v>438</x:v>
      </x:c>
      <x:c r="H8" s="9" t="n">
        <x:v>3714</x:v>
      </x:c>
      <x:c r="I8" s="11" t="n">
        <x:v>340</x:v>
      </x:c>
      <x:c r="J8" s="11" t="n">
        <x:v>524</x:v>
      </x:c>
    </x:row>
    <x:row r="9" ht="23" customHeight="1">
      <x:c r="A9" s="7" t="str">
        <x:v>SLE2</x:v>
      </x:c>
      <x:c r="B9" s="7" t="str">
        <x:v>SLE</x:v>
      </x:c>
      <x:c r="C9" s="9" t="n">
        <x:v>2346</x:v>
      </x:c>
      <x:c r="D9" s="9" t="n">
        <x:v>67</x:v>
      </x:c>
      <x:c r="E9" s="9" t="n">
        <x:v>90</x:v>
      </x:c>
      <x:c r="F9" s="9" t="n">
        <x:v>92</x:v>
      </x:c>
      <x:c r="G9" s="9" t="n">
        <x:f>SUM(D9:F9)</x:f>
        <x:v>249</x:v>
      </x:c>
      <x:c r="H9" s="9" t="n">
        <x:v>2346</x:v>
      </x:c>
      <x:c r="I9" s="11" t="n">
        <x:v>393.5</x:v>
      </x:c>
      <x:c r="J9" s="11" t="n">
        <x:v>603</x:v>
      </x:c>
    </x:row>
    <x:row r="10" ht="23" customHeight="1">
      <x:c r="A10" s="7" t="str">
        <x:v>SLE3</x:v>
      </x:c>
      <x:c r="B10" s="7" t="str">
        <x:v>SLE</x:v>
      </x:c>
      <x:c r="C10" s="9" t="n">
        <x:v>4064</x:v>
      </x:c>
      <x:c r="D10" s="9" t="n">
        <x:v>53</x:v>
      </x:c>
      <x:c r="E10" s="9" t="n">
        <x:v>176</x:v>
      </x:c>
      <x:c r="F10" s="9" t="n">
        <x:v>242</x:v>
      </x:c>
      <x:c r="G10" s="9" t="n">
        <x:f>SUM(D10:F10)</x:f>
        <x:v>471</x:v>
      </x:c>
      <x:c r="H10" s="9" t="n">
        <x:v>4064</x:v>
      </x:c>
      <x:c r="I10" s="11" t="n">
        <x:v>376</x:v>
      </x:c>
      <x:c r="J10" s="11" t="n">
        <x:v>535</x:v>
      </x:c>
    </x:row>
    <x:row r="11" ht="23" customHeight="1">
      <x:c r="A11" s="7" t="str">
        <x:v>SLE4</x:v>
      </x:c>
      <x:c r="B11" s="7" t="str">
        <x:v>SLE</x:v>
      </x:c>
      <x:c r="C11" s="9" t="n">
        <x:v>1753</x:v>
      </x:c>
      <x:c r="D11" s="9" t="n">
        <x:v>63</x:v>
      </x:c>
      <x:c r="E11" s="9" t="n">
        <x:v>48</x:v>
      </x:c>
      <x:c r="F11" s="9" t="n">
        <x:v>81</x:v>
      </x:c>
      <x:c r="G11" s="9" t="n">
        <x:f>SUM(D11:F11)</x:f>
        <x:v>192</x:v>
      </x:c>
      <x:c r="H11" s="9" t="n">
        <x:v>1753</x:v>
      </x:c>
      <x:c r="I11" s="11" t="n">
        <x:v>451</x:v>
      </x:c>
      <x:c r="J11" s="11" t="n">
        <x:v>705</x:v>
      </x:c>
    </x:row>
    <x:row r="12" ht="23" customHeight="1">
      <x:c r="A12" s="7" t="str">
        <x:v>SLE5</x:v>
      </x:c>
      <x:c r="B12" s="7" t="str">
        <x:v>SLE</x:v>
      </x:c>
      <x:c r="C12" s="9" t="n">
        <x:v>2191</x:v>
      </x:c>
      <x:c r="D12" s="9" t="n">
        <x:v>145</x:v>
      </x:c>
      <x:c r="E12" s="9" t="n">
        <x:v>87</x:v>
      </x:c>
      <x:c r="F12" s="9" t="n">
        <x:v>38</x:v>
      </x:c>
      <x:c r="G12" s="9" t="n">
        <x:f>SUM(D12:F12)</x:f>
        <x:v>270</x:v>
      </x:c>
      <x:c r="H12" s="9" t="n">
        <x:v>2191</x:v>
      </x:c>
      <x:c r="I12" s="11" t="n">
        <x:v>360</x:v>
      </x:c>
      <x:c r="J12" s="11" t="n">
        <x:v>624</x:v>
      </x:c>
    </x:row>
    <x:row r="13" ht="23" customHeight="1">
      <x:c r="A13" s="7" t="str">
        <x:v>SLE6</x:v>
      </x:c>
      <x:c r="B13" s="7" t="str">
        <x:v>SLE</x:v>
      </x:c>
      <x:c r="C13" s="9" t="n">
        <x:v>2117</x:v>
      </x:c>
      <x:c r="D13" s="9" t="n">
        <x:v>46</x:v>
      </x:c>
      <x:c r="E13" s="9" t="n">
        <x:v>110</x:v>
      </x:c>
      <x:c r="F13" s="9" t="n">
        <x:v>74</x:v>
      </x:c>
      <x:c r="G13" s="9" t="n">
        <x:f>SUM(D13:F13)</x:f>
        <x:v>230</x:v>
      </x:c>
      <x:c r="H13" s="9" t="n">
        <x:v>2117</x:v>
      </x:c>
      <x:c r="I13" s="11" t="n">
        <x:v>368</x:v>
      </x:c>
      <x:c r="J13" s="11" t="n">
        <x:v>583</x:v>
      </x:c>
    </x:row>
  </x:sheetData>
  <x:pageMargins left="0.7" right="0.7" top="0.75" bottom="0.75" header="0.3" footer="0.3"/>
  <x:tableParts count="1">
    <x:tablePart xmlns:r="http://schemas.openxmlformats.org/officeDocument/2006/relationships" r:id="Rdfe52daa7ac44c64"/>
  </x:tableParts>
</x:worksheet>
</file>